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il.mochet\Documents\Envoi\"/>
    </mc:Choice>
  </mc:AlternateContent>
  <bookViews>
    <workbookView xWindow="480" yWindow="105" windowWidth="16515" windowHeight="9030"/>
  </bookViews>
  <sheets>
    <sheet name="Feuil1" sheetId="1" r:id="rId1"/>
    <sheet name="Feuil2" sheetId="2" r:id="rId2"/>
    <sheet name="Feuil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V5" i="1" l="1"/>
  <c r="BW5" i="1"/>
  <c r="BX5" i="1"/>
  <c r="BY5" i="1"/>
  <c r="BZ5" i="1"/>
  <c r="CA5" i="1"/>
  <c r="CB5" i="1"/>
  <c r="CC5" i="1"/>
  <c r="CD5" i="1"/>
  <c r="CE5" i="1"/>
  <c r="CF5" i="1"/>
  <c r="CG5" i="1"/>
  <c r="BV6" i="1"/>
  <c r="BW6" i="1"/>
  <c r="BX6" i="1"/>
  <c r="BY6" i="1"/>
  <c r="BZ6" i="1"/>
  <c r="CA6" i="1"/>
  <c r="CB6" i="1"/>
  <c r="CC6" i="1"/>
  <c r="CD6" i="1"/>
  <c r="CE6" i="1"/>
  <c r="CF6" i="1"/>
  <c r="CG6" i="1"/>
  <c r="BV7" i="1"/>
  <c r="BW7" i="1"/>
  <c r="BX7" i="1"/>
  <c r="BY7" i="1"/>
  <c r="BZ7" i="1"/>
  <c r="CA7" i="1"/>
  <c r="CB7" i="1"/>
  <c r="CC7" i="1"/>
  <c r="CD7" i="1"/>
  <c r="CE7" i="1"/>
  <c r="CF7" i="1"/>
  <c r="CG7" i="1"/>
  <c r="BV8" i="1"/>
  <c r="BW8" i="1"/>
  <c r="BX8" i="1"/>
  <c r="BY8" i="1"/>
  <c r="BZ8" i="1"/>
  <c r="CA8" i="1"/>
  <c r="CB8" i="1"/>
  <c r="CC8" i="1"/>
  <c r="CD8" i="1"/>
  <c r="CE8" i="1"/>
  <c r="CF8" i="1"/>
  <c r="CG8" i="1"/>
  <c r="BV9" i="1"/>
  <c r="BW9" i="1"/>
  <c r="BX9" i="1"/>
  <c r="BY9" i="1"/>
  <c r="BZ9" i="1"/>
  <c r="CA9" i="1"/>
  <c r="CB9" i="1"/>
  <c r="CC9" i="1"/>
  <c r="CD9" i="1"/>
  <c r="CE9" i="1"/>
  <c r="CF9" i="1"/>
  <c r="CG9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G4" i="1"/>
  <c r="CF4" i="1"/>
  <c r="CE4" i="1"/>
  <c r="CD4" i="1"/>
  <c r="CC4" i="1"/>
  <c r="CB4" i="1"/>
  <c r="CA4" i="1"/>
  <c r="BZ4" i="1"/>
  <c r="BY4" i="1"/>
  <c r="BX4" i="1"/>
  <c r="BW4" i="1"/>
  <c r="BV4" i="1"/>
  <c r="BU3" i="1"/>
  <c r="BU2" i="1" s="1"/>
  <c r="V3" i="1" l="1"/>
  <c r="V2" i="1" s="1"/>
  <c r="W3" i="1"/>
  <c r="W2" i="1" s="1"/>
  <c r="X3" i="1"/>
  <c r="X2" i="1" s="1"/>
  <c r="Y3" i="1"/>
  <c r="Y2" i="1" s="1"/>
  <c r="Z3" i="1"/>
  <c r="Z2" i="1" s="1"/>
  <c r="AA3" i="1"/>
  <c r="AA2" i="1" s="1"/>
  <c r="AB3" i="1"/>
  <c r="AC3" i="1"/>
  <c r="AC2" i="1" s="1"/>
  <c r="AD3" i="1"/>
  <c r="AD2" i="1" s="1"/>
  <c r="AE3" i="1"/>
  <c r="AF3" i="1"/>
  <c r="AF2" i="1" s="1"/>
  <c r="AG3" i="1"/>
  <c r="AG2" i="1" s="1"/>
  <c r="AH3" i="1"/>
  <c r="AH2" i="1" s="1"/>
  <c r="AI3" i="1"/>
  <c r="AI2" i="1" s="1"/>
  <c r="AJ3" i="1"/>
  <c r="AJ2" i="1" s="1"/>
  <c r="AK3" i="1"/>
  <c r="AK2" i="1" s="1"/>
  <c r="AL3" i="1"/>
  <c r="AL2" i="1" s="1"/>
  <c r="AM3" i="1"/>
  <c r="AM2" i="1" s="1"/>
  <c r="AN3" i="1"/>
  <c r="AN2" i="1" s="1"/>
  <c r="AO3" i="1"/>
  <c r="AO2" i="1" s="1"/>
  <c r="AP3" i="1"/>
  <c r="AP2" i="1" s="1"/>
  <c r="AQ3" i="1"/>
  <c r="AR3" i="1"/>
  <c r="AR2" i="1" s="1"/>
  <c r="AS3" i="1"/>
  <c r="AS2" i="1" s="1"/>
  <c r="AT3" i="1"/>
  <c r="AT2" i="1" s="1"/>
  <c r="AU3" i="1"/>
  <c r="AU2" i="1" s="1"/>
  <c r="AV3" i="1"/>
  <c r="AV2" i="1" s="1"/>
  <c r="AW3" i="1"/>
  <c r="AW2" i="1" s="1"/>
  <c r="AX3" i="1"/>
  <c r="AX2" i="1" s="1"/>
  <c r="AY3" i="1"/>
  <c r="AY2" i="1" s="1"/>
  <c r="AZ3" i="1"/>
  <c r="AZ2" i="1" s="1"/>
  <c r="BA3" i="1"/>
  <c r="BA2" i="1" s="1"/>
  <c r="BB3" i="1"/>
  <c r="BB2" i="1" s="1"/>
  <c r="BC3" i="1"/>
  <c r="BC2" i="1" s="1"/>
  <c r="BD3" i="1"/>
  <c r="BD2" i="1" s="1"/>
  <c r="BE3" i="1"/>
  <c r="BE2" i="1" s="1"/>
  <c r="BF3" i="1"/>
  <c r="BF2" i="1" s="1"/>
  <c r="BG3" i="1"/>
  <c r="BG2" i="1" s="1"/>
  <c r="BH3" i="1"/>
  <c r="BH2" i="1" s="1"/>
  <c r="BI3" i="1"/>
  <c r="BI2" i="1" s="1"/>
  <c r="BJ3" i="1"/>
  <c r="BJ2" i="1" s="1"/>
  <c r="BK3" i="1"/>
  <c r="BK2" i="1" s="1"/>
  <c r="BL3" i="1"/>
  <c r="BL2" i="1" s="1"/>
  <c r="BM3" i="1"/>
  <c r="BM2" i="1" s="1"/>
  <c r="BN3" i="1"/>
  <c r="BN2" i="1" s="1"/>
  <c r="BO3" i="1"/>
  <c r="BP3" i="1"/>
  <c r="BP2" i="1" s="1"/>
  <c r="BQ3" i="1"/>
  <c r="BQ2" i="1" s="1"/>
  <c r="BR3" i="1"/>
  <c r="BR2" i="1" s="1"/>
  <c r="BS3" i="1"/>
  <c r="BS2" i="1" s="1"/>
  <c r="BT3" i="1"/>
  <c r="BT2" i="1" s="1"/>
  <c r="U3" i="1"/>
  <c r="U2" i="1" s="1"/>
  <c r="BO2" i="1"/>
  <c r="AQ2" i="1"/>
  <c r="AE2" i="1"/>
  <c r="AB2" i="1"/>
  <c r="CB3" i="1" l="1"/>
  <c r="CB2" i="1" s="1"/>
  <c r="BX3" i="1"/>
  <c r="BX2" i="1" s="1"/>
  <c r="BV3" i="1"/>
  <c r="BV2" i="1" s="1"/>
  <c r="BW3" i="1"/>
  <c r="BW2" i="1" s="1"/>
  <c r="CH13" i="1"/>
  <c r="CH11" i="1"/>
  <c r="CH7" i="1"/>
  <c r="CC3" i="1"/>
  <c r="CC2" i="1" s="1"/>
  <c r="BY3" i="1"/>
  <c r="BY2" i="1" s="1"/>
  <c r="CH14" i="1"/>
  <c r="CH12" i="1"/>
  <c r="CH10" i="1"/>
  <c r="CH9" i="1"/>
  <c r="CH8" i="1"/>
  <c r="CH6" i="1"/>
  <c r="CF3" i="1"/>
  <c r="CF2" i="1" s="1"/>
  <c r="CA3" i="1"/>
  <c r="CA2" i="1" s="1"/>
  <c r="CG3" i="1"/>
  <c r="CG2" i="1" s="1"/>
  <c r="BZ3" i="1"/>
  <c r="BZ2" i="1" s="1"/>
  <c r="CE3" i="1"/>
  <c r="CE2" i="1" s="1"/>
  <c r="CD3" i="1"/>
  <c r="CD2" i="1" s="1"/>
  <c r="CH5" i="1"/>
  <c r="CH4" i="1"/>
  <c r="CH3" i="1" l="1"/>
  <c r="CH2" i="1" s="1"/>
</calcChain>
</file>

<file path=xl/sharedStrings.xml><?xml version="1.0" encoding="utf-8"?>
<sst xmlns="http://schemas.openxmlformats.org/spreadsheetml/2006/main" count="309" uniqueCount="98">
  <si>
    <t>REF</t>
  </si>
  <si>
    <t>ref UO</t>
  </si>
  <si>
    <t>Type UO</t>
  </si>
  <si>
    <t>phase</t>
  </si>
  <si>
    <t>complexité</t>
  </si>
  <si>
    <t>unité de facturation</t>
  </si>
  <si>
    <t>nbre d'Uos commandées</t>
  </si>
  <si>
    <t>statut</t>
  </si>
  <si>
    <t>commentaires</t>
  </si>
  <si>
    <t>date de début</t>
  </si>
  <si>
    <t>Jan-S1</t>
  </si>
  <si>
    <t>Jan-S2</t>
  </si>
  <si>
    <t>Jan-S3</t>
  </si>
  <si>
    <t>Jan-S4</t>
  </si>
  <si>
    <t>Fév-S6</t>
  </si>
  <si>
    <t>Fév-S7</t>
  </si>
  <si>
    <t>Fév-S8</t>
  </si>
  <si>
    <t>Mars-S10</t>
  </si>
  <si>
    <t>Mars-S11</t>
  </si>
  <si>
    <t>Mars-S12</t>
  </si>
  <si>
    <t>Mars-S13</t>
  </si>
  <si>
    <t>Avr-S14</t>
  </si>
  <si>
    <t>Avr-S15</t>
  </si>
  <si>
    <t>Avr-S16</t>
  </si>
  <si>
    <t>Avr-S17</t>
  </si>
  <si>
    <t>Mai-S19</t>
  </si>
  <si>
    <t>Mai-S20</t>
  </si>
  <si>
    <t>Mai-S21</t>
  </si>
  <si>
    <t>Mai-S22</t>
  </si>
  <si>
    <t>Juin-S23</t>
  </si>
  <si>
    <t>Juin-S24</t>
  </si>
  <si>
    <t>Juin-S25</t>
  </si>
  <si>
    <t>Juin-S26</t>
  </si>
  <si>
    <t>Juill-S27</t>
  </si>
  <si>
    <t>Juill-S28</t>
  </si>
  <si>
    <t>Juill-S29</t>
  </si>
  <si>
    <t>Juill-S30</t>
  </si>
  <si>
    <t>Août-S32</t>
  </si>
  <si>
    <t>Août-S33</t>
  </si>
  <si>
    <t>Août-S34</t>
  </si>
  <si>
    <t>Août-S35</t>
  </si>
  <si>
    <t>Sept-S36</t>
  </si>
  <si>
    <t>Sept-S37</t>
  </si>
  <si>
    <t>Sept-S38</t>
  </si>
  <si>
    <t>Sept-S39</t>
  </si>
  <si>
    <t>Oct-S41</t>
  </si>
  <si>
    <t>Oct-S42</t>
  </si>
  <si>
    <t>Oct-S43</t>
  </si>
  <si>
    <t>Nov-S45</t>
  </si>
  <si>
    <t>Nov-S46</t>
  </si>
  <si>
    <t>Nov-S47</t>
  </si>
  <si>
    <t>Nov-S48</t>
  </si>
  <si>
    <t>Dec-S49</t>
  </si>
  <si>
    <t>Dec-S50</t>
  </si>
  <si>
    <t>Dec-S51</t>
  </si>
  <si>
    <t>Dec-S52</t>
  </si>
  <si>
    <t>Conso Jan</t>
  </si>
  <si>
    <t>conso Fev</t>
  </si>
  <si>
    <t>conso Mars</t>
  </si>
  <si>
    <t>conso Avril</t>
  </si>
  <si>
    <t>conso Mai</t>
  </si>
  <si>
    <t>conso Juin</t>
  </si>
  <si>
    <t>conso Juill</t>
  </si>
  <si>
    <t>conso Août</t>
  </si>
  <si>
    <t>conso Sept</t>
  </si>
  <si>
    <t>conso Oct</t>
  </si>
  <si>
    <t>conso Nov</t>
  </si>
  <si>
    <t>heures</t>
  </si>
  <si>
    <t>Férié</t>
  </si>
  <si>
    <t>-</t>
  </si>
  <si>
    <t>Maladie</t>
  </si>
  <si>
    <t>Congés / RTT</t>
  </si>
  <si>
    <t>UO</t>
  </si>
  <si>
    <t>STM</t>
  </si>
  <si>
    <t>Formation extérieure</t>
  </si>
  <si>
    <t>Formation interne RAC</t>
  </si>
  <si>
    <t>Réunions d'équipes, exceptionnelles, …</t>
  </si>
  <si>
    <t>Incidents (réseau, téléphonie, infra, …)</t>
  </si>
  <si>
    <t>Amélioration CDS (MAJ Docs, Process…)</t>
  </si>
  <si>
    <t>Auto-formation, lecture de docs OBS, …</t>
  </si>
  <si>
    <t>date de fin revue</t>
  </si>
  <si>
    <t>Temps partiel</t>
  </si>
  <si>
    <t>Jan-S5</t>
  </si>
  <si>
    <t>Fév-S9</t>
  </si>
  <si>
    <t>Juill-S31</t>
  </si>
  <si>
    <t>Oct-S44</t>
  </si>
  <si>
    <t>conso Dec</t>
  </si>
  <si>
    <t>Nombre de sites dans WED</t>
  </si>
  <si>
    <t>Nombre de sites Migrés</t>
  </si>
  <si>
    <t>Nombre de site en cours</t>
  </si>
  <si>
    <t>Nombre de sites installés</t>
  </si>
  <si>
    <t>Nombre de sites annulés</t>
  </si>
  <si>
    <t>Nombre de site à qualifier</t>
  </si>
  <si>
    <t>Nombre de mise en facturation</t>
  </si>
  <si>
    <t>Avr-S18</t>
  </si>
  <si>
    <t>Sept-S40</t>
  </si>
  <si>
    <t>Dec-S53</t>
  </si>
  <si>
    <t>Total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</si>
</sst>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_ * #,##0_ ;_ * \(#,##0\)_ ;_ * &quot;-&quot;??_ ;_ @_ 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165" fontId="2" fillId="0" borderId="0"/>
    <xf numFmtId="0" fontId="2" fillId="0" borderId="0"/>
    <xf numFmtId="165" fontId="2" fillId="0" borderId="0"/>
    <xf numFmtId="165" fontId="2" fillId="0" borderId="0"/>
    <xf numFmtId="165" fontId="2" fillId="0" borderId="0"/>
  </cellStyleXfs>
  <cellXfs count="50">
    <xf numFmtId="0" fontId="0" fillId="0" borderId="0" xfId="0"/>
    <xf numFmtId="0" fontId="0" fillId="0" borderId="0" xfId="0" applyFont="1"/>
    <xf numFmtId="0" fontId="0" fillId="3" borderId="1" xfId="0" applyFont="1" applyFill="1" applyBorder="1" applyAlignment="1">
      <alignment horizontal="center" vertical="center" wrapText="1"/>
    </xf>
    <xf numFmtId="164" fontId="0" fillId="2" borderId="1" xfId="0" applyNumberFormat="1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5" borderId="1" xfId="0" applyFont="1" applyFill="1" applyBorder="1" applyAlignment="1">
      <alignment horizontal="center" vertical="center" wrapText="1"/>
    </xf>
    <xf numFmtId="2" fontId="0" fillId="3" borderId="0" xfId="0" applyNumberFormat="1" applyFont="1" applyFill="1" applyAlignment="1">
      <alignment horizontal="center" vertical="center" wrapText="1"/>
    </xf>
    <xf numFmtId="10" fontId="0" fillId="3" borderId="0" xfId="0" applyNumberFormat="1" applyFont="1" applyFill="1" applyAlignment="1">
      <alignment horizontal="center" vertical="center" wrapText="1"/>
    </xf>
    <xf numFmtId="10" fontId="0" fillId="5" borderId="0" xfId="0" applyNumberFormat="1" applyFont="1" applyFill="1" applyAlignment="1">
      <alignment horizontal="center" vertical="center" wrapText="1"/>
    </xf>
    <xf numFmtId="0" fontId="0" fillId="3" borderId="0" xfId="0" applyFont="1" applyFill="1" applyAlignment="1">
      <alignment horizontal="center" vertical="center" wrapText="1"/>
    </xf>
    <xf numFmtId="0" fontId="0" fillId="2" borderId="0" xfId="0" applyFont="1" applyFill="1" applyAlignment="1">
      <alignment horizontal="center" vertical="center" wrapText="1"/>
    </xf>
    <xf numFmtId="0" fontId="0" fillId="5" borderId="0" xfId="0" applyFont="1" applyFill="1" applyAlignment="1">
      <alignment horizontal="center" vertical="center" wrapText="1"/>
    </xf>
    <xf numFmtId="0" fontId="0" fillId="2" borderId="0" xfId="0" applyFont="1" applyFill="1"/>
    <xf numFmtId="0" fontId="3" fillId="5" borderId="1" xfId="2" applyFont="1" applyFill="1" applyBorder="1" applyAlignment="1" applyProtection="1">
      <alignment horizontal="center" vertical="center"/>
      <protection locked="0"/>
    </xf>
    <xf numFmtId="0" fontId="0" fillId="4" borderId="1" xfId="0" applyFont="1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 wrapText="1"/>
    </xf>
    <xf numFmtId="0" fontId="0" fillId="3" borderId="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/>
    </xf>
    <xf numFmtId="10" fontId="0" fillId="6" borderId="4" xfId="0" applyNumberFormat="1" applyFill="1" applyBorder="1" applyAlignment="1">
      <alignment horizontal="center" vertical="center"/>
    </xf>
    <xf numFmtId="0" fontId="0" fillId="2" borderId="1" xfId="0" applyFill="1" applyBorder="1"/>
    <xf numFmtId="10" fontId="0" fillId="7" borderId="0" xfId="0" applyNumberFormat="1" applyFont="1" applyFill="1" applyAlignment="1">
      <alignment horizontal="center" vertical="center" wrapText="1"/>
    </xf>
    <xf numFmtId="10" fontId="0" fillId="8" borderId="6" xfId="0" applyNumberFormat="1" applyFill="1" applyBorder="1" applyAlignment="1">
      <alignment horizontal="center" vertical="center"/>
    </xf>
    <xf numFmtId="10" fontId="0" fillId="8" borderId="0" xfId="0" applyNumberFormat="1" applyFont="1" applyFill="1" applyAlignment="1">
      <alignment horizontal="center" vertical="center" wrapText="1"/>
    </xf>
    <xf numFmtId="0" fontId="0" fillId="2" borderId="0" xfId="0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/>
    <xf numFmtId="0" fontId="0" fillId="2" borderId="0" xfId="0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164" fontId="0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2" borderId="8" xfId="0" applyFont="1" applyFill="1" applyBorder="1"/>
    <xf numFmtId="0" fontId="0" fillId="2" borderId="8" xfId="0" applyFont="1" applyFill="1" applyBorder="1" applyAlignment="1">
      <alignment horizontal="center" vertical="center"/>
    </xf>
    <xf numFmtId="0" fontId="0" fillId="2" borderId="8" xfId="0" applyNumberFormat="1" applyFont="1" applyFill="1" applyBorder="1" applyAlignment="1">
      <alignment horizontal="center" vertical="center"/>
    </xf>
    <xf numFmtId="164" fontId="0" fillId="2" borderId="8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14" fontId="0" fillId="2" borderId="1" xfId="0" applyNumberFormat="1" applyFont="1" applyFill="1" applyBorder="1" applyAlignment="1">
      <alignment horizontal="center" vertical="center" wrapText="1"/>
    </xf>
    <xf numFmtId="14" fontId="0" fillId="3" borderId="0" xfId="0" applyNumberFormat="1" applyFont="1" applyFill="1" applyAlignment="1">
      <alignment horizontal="center" vertical="center" wrapText="1"/>
    </xf>
    <xf numFmtId="14" fontId="0" fillId="2" borderId="0" xfId="0" applyNumberFormat="1" applyFont="1" applyFill="1" applyAlignment="1">
      <alignment horizontal="center" vertical="center"/>
    </xf>
    <xf numFmtId="14" fontId="0" fillId="2" borderId="8" xfId="0" applyNumberFormat="1" applyFont="1" applyFill="1" applyBorder="1" applyAlignment="1">
      <alignment horizontal="center" vertical="center"/>
    </xf>
    <xf numFmtId="14" fontId="0" fillId="9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10" borderId="9" xfId="0" applyFont="1" applyFill="1" applyBorder="1" applyAlignment="1">
      <alignment vertical="center" wrapText="1"/>
    </xf>
    <xf numFmtId="0" fontId="1" fillId="10" borderId="10" xfId="0" applyFont="1" applyFill="1" applyBorder="1" applyAlignment="1">
      <alignment vertical="center" wrapText="1"/>
    </xf>
    <xf numFmtId="0" fontId="1" fillId="10" borderId="0" xfId="0" applyFont="1" applyFill="1" applyBorder="1" applyAlignment="1">
      <alignment vertical="center" wrapText="1"/>
    </xf>
  </cellXfs>
  <cellStyles count="11">
    <cellStyle name="Normal" xfId="0" builtinId="0"/>
    <cellStyle name="Normal - Style1" xfId="7"/>
    <cellStyle name="Normal 2" xfId="2"/>
    <cellStyle name="Normal 2 2" xfId="4"/>
    <cellStyle name="Normal 3" xfId="6"/>
    <cellStyle name="Normal 4" xfId="1"/>
    <cellStyle name="Normal 5" xfId="3"/>
    <cellStyle name="Normal 5 2" xfId="5"/>
    <cellStyle name="Normal 6" xfId="8"/>
    <cellStyle name="Normal 7" xfId="9"/>
    <cellStyle name="Normal 8" xfId="10"/>
  </cellStyles>
  <dxfs count="7">
    <dxf>
      <fill>
        <patternFill>
          <fgColor indexed="64"/>
          <bgColor rgb="FFFF000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0" tint="-0.34998626667073579"/>
        </patternFill>
      </fill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3</xdr:row>
          <xdr:rowOff>95250</xdr:rowOff>
        </xdr:from>
        <xdr:to>
          <xdr:col>12</xdr:col>
          <xdr:colOff>180975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Déclarer un Back-Up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3</xdr:row>
          <xdr:rowOff>85725</xdr:rowOff>
        </xdr:from>
        <xdr:to>
          <xdr:col>15</xdr:col>
          <xdr:colOff>76200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 le projet d'un autre RAC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3</xdr:row>
          <xdr:rowOff>180975</xdr:rowOff>
        </xdr:from>
        <xdr:to>
          <xdr:col>7</xdr:col>
          <xdr:colOff>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Envoyer les statistiques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H15"/>
  <sheetViews>
    <sheetView tabSelected="1" zoomScale="85" zoomScaleNormal="85" workbookViewId="0">
      <pane xSplit="10" topLeftCell="K1" activePane="topRight" state="frozen"/>
      <selection pane="topRight"/>
    </sheetView>
  </sheetViews>
  <sheetFormatPr baseColWidth="10" defaultRowHeight="15" x14ac:dyDescent="0.25"/>
  <cols>
    <col min="1" max="1" width="7.5703125" bestFit="1" customWidth="1"/>
    <col min="2" max="2" width="7.140625" style="25" customWidth="1"/>
    <col min="3" max="3" width="38.5703125" bestFit="1" customWidth="1"/>
    <col min="4" max="4" width="10.42578125" style="27" bestFit="1" customWidth="1"/>
    <col min="5" max="5" width="8.5703125" style="27" bestFit="1" customWidth="1"/>
    <col min="6" max="6" width="8.85546875" style="27" bestFit="1" customWidth="1"/>
    <col min="7" max="7" width="9.42578125" style="27" bestFit="1" customWidth="1"/>
    <col min="8" max="8" width="8.5703125" style="27" bestFit="1" customWidth="1"/>
    <col min="9" max="9" width="9.28515625" style="27" bestFit="1" customWidth="1"/>
    <col min="10" max="10" width="11.28515625" style="27" bestFit="1" customWidth="1"/>
    <col min="11" max="11" width="10.5703125" style="31" bestFit="1" customWidth="1"/>
    <col min="12" max="12" width="8.5703125" style="31" bestFit="1" customWidth="1"/>
    <col min="13" max="13" width="13.42578125" style="31" bestFit="1" customWidth="1"/>
    <col min="14" max="14" width="24.42578125" style="31" customWidth="1"/>
    <col min="15" max="15" width="11.28515625" style="31" bestFit="1" customWidth="1"/>
    <col min="16" max="16" width="13.42578125" style="31" bestFit="1" customWidth="1"/>
    <col min="17" max="17" width="8.85546875" style="31" customWidth="1"/>
    <col min="18" max="18" width="14.28515625" style="31" bestFit="1" customWidth="1"/>
    <col min="19" max="19" width="10.85546875" style="45" customWidth="1"/>
    <col min="20" max="20" width="11.28515625" style="45" bestFit="1" customWidth="1"/>
    <col min="21" max="28" width="8.140625" style="46" bestFit="1" customWidth="1"/>
    <col min="29" max="29" width="8.42578125" style="46" bestFit="1" customWidth="1"/>
    <col min="30" max="33" width="9.42578125" style="46" bestFit="1" customWidth="1"/>
    <col min="34" max="37" width="8.140625" style="46" bestFit="1" customWidth="1"/>
    <col min="38" max="42" width="8.42578125" style="46" bestFit="1" customWidth="1"/>
    <col min="43" max="46" width="8.5703125" style="46" bestFit="1" customWidth="1"/>
    <col min="47" max="50" width="8.7109375" style="46" bestFit="1" customWidth="1"/>
    <col min="51" max="55" width="9" style="46" bestFit="1" customWidth="1"/>
    <col min="56" max="60" width="8.85546875" style="46" bestFit="1" customWidth="1"/>
    <col min="61" max="63" width="8.140625" style="46" bestFit="1" customWidth="1"/>
    <col min="64" max="68" width="8.28515625" style="46" bestFit="1" customWidth="1"/>
    <col min="69" max="70" width="8.140625" style="46" bestFit="1" customWidth="1"/>
    <col min="71" max="71" width="8.140625" style="46" customWidth="1"/>
    <col min="72" max="72" width="8.140625" style="46" bestFit="1" customWidth="1"/>
    <col min="73" max="73" width="8.140625" style="46" customWidth="1"/>
    <col min="74" max="74" width="10.28515625" bestFit="1" customWidth="1"/>
    <col min="75" max="75" width="10" bestFit="1" customWidth="1"/>
    <col min="76" max="76" width="11.5703125" bestFit="1" customWidth="1"/>
    <col min="77" max="77" width="11" bestFit="1" customWidth="1"/>
    <col min="78" max="78" width="10.5703125" bestFit="1" customWidth="1"/>
    <col min="79" max="79" width="10.7109375" bestFit="1" customWidth="1"/>
    <col min="80" max="80" width="10.85546875" bestFit="1" customWidth="1"/>
    <col min="81" max="81" width="11.28515625" bestFit="1" customWidth="1"/>
    <col min="82" max="82" width="11" bestFit="1" customWidth="1"/>
    <col min="83" max="83" width="9.85546875" bestFit="1" customWidth="1"/>
    <col min="84" max="85" width="10.42578125" bestFit="1" customWidth="1"/>
  </cols>
  <sheetData>
    <row r="1" spans="1:86" ht="45.75" thickBot="1" x14ac:dyDescent="0.3">
      <c r="A1" s="14">
        <v>2020</v>
      </c>
      <c r="B1" s="14" t="s">
        <v>0</v>
      </c>
      <c r="C1" s="3" t="s">
        <v>1</v>
      </c>
      <c r="D1" s="47" t="s">
        <v>87</v>
      </c>
      <c r="E1" s="48" t="s">
        <v>88</v>
      </c>
      <c r="F1" s="48" t="s">
        <v>89</v>
      </c>
      <c r="G1" s="48" t="s">
        <v>90</v>
      </c>
      <c r="H1" s="48" t="s">
        <v>91</v>
      </c>
      <c r="I1" s="48" t="s">
        <v>92</v>
      </c>
      <c r="J1" s="49" t="s">
        <v>93</v>
      </c>
      <c r="K1" s="3" t="s">
        <v>72</v>
      </c>
      <c r="L1" s="3" t="s">
        <v>2</v>
      </c>
      <c r="M1" s="3" t="s">
        <v>3</v>
      </c>
      <c r="N1" s="3" t="s">
        <v>4</v>
      </c>
      <c r="O1" s="3" t="s">
        <v>5</v>
      </c>
      <c r="P1" s="3" t="s">
        <v>6</v>
      </c>
      <c r="Q1" s="3" t="s">
        <v>7</v>
      </c>
      <c r="R1" s="3" t="s">
        <v>8</v>
      </c>
      <c r="S1" s="40" t="s">
        <v>9</v>
      </c>
      <c r="T1" s="40" t="s">
        <v>80</v>
      </c>
      <c r="U1" s="5" t="s">
        <v>10</v>
      </c>
      <c r="V1" s="5" t="s">
        <v>11</v>
      </c>
      <c r="W1" s="5" t="s">
        <v>12</v>
      </c>
      <c r="X1" s="5" t="s">
        <v>13</v>
      </c>
      <c r="Y1" s="2" t="s">
        <v>82</v>
      </c>
      <c r="Z1" s="2" t="s">
        <v>14</v>
      </c>
      <c r="AA1" s="2" t="s">
        <v>15</v>
      </c>
      <c r="AB1" s="2" t="s">
        <v>16</v>
      </c>
      <c r="AC1" s="5" t="s">
        <v>83</v>
      </c>
      <c r="AD1" s="5" t="s">
        <v>17</v>
      </c>
      <c r="AE1" s="5" t="s">
        <v>18</v>
      </c>
      <c r="AF1" s="5" t="s">
        <v>19</v>
      </c>
      <c r="AG1" s="5" t="s">
        <v>20</v>
      </c>
      <c r="AH1" s="2" t="s">
        <v>21</v>
      </c>
      <c r="AI1" s="2" t="s">
        <v>22</v>
      </c>
      <c r="AJ1" s="2" t="s">
        <v>23</v>
      </c>
      <c r="AK1" s="2" t="s">
        <v>24</v>
      </c>
      <c r="AL1" s="5" t="s">
        <v>94</v>
      </c>
      <c r="AM1" s="5" t="s">
        <v>25</v>
      </c>
      <c r="AN1" s="5" t="s">
        <v>26</v>
      </c>
      <c r="AO1" s="5" t="s">
        <v>27</v>
      </c>
      <c r="AP1" s="5" t="s">
        <v>28</v>
      </c>
      <c r="AQ1" s="2" t="s">
        <v>29</v>
      </c>
      <c r="AR1" s="2" t="s">
        <v>30</v>
      </c>
      <c r="AS1" s="2" t="s">
        <v>31</v>
      </c>
      <c r="AT1" s="2" t="s">
        <v>32</v>
      </c>
      <c r="AU1" s="5" t="s">
        <v>33</v>
      </c>
      <c r="AV1" s="5" t="s">
        <v>34</v>
      </c>
      <c r="AW1" s="5" t="s">
        <v>35</v>
      </c>
      <c r="AX1" s="5" t="s">
        <v>36</v>
      </c>
      <c r="AY1" s="2" t="s">
        <v>84</v>
      </c>
      <c r="AZ1" s="2" t="s">
        <v>37</v>
      </c>
      <c r="BA1" s="2" t="s">
        <v>38</v>
      </c>
      <c r="BB1" s="2" t="s">
        <v>39</v>
      </c>
      <c r="BC1" s="2" t="s">
        <v>40</v>
      </c>
      <c r="BD1" s="5" t="s">
        <v>41</v>
      </c>
      <c r="BE1" s="5" t="s">
        <v>42</v>
      </c>
      <c r="BF1" s="5" t="s">
        <v>43</v>
      </c>
      <c r="BG1" s="5" t="s">
        <v>44</v>
      </c>
      <c r="BH1" s="2" t="s">
        <v>95</v>
      </c>
      <c r="BI1" s="2" t="s">
        <v>45</v>
      </c>
      <c r="BJ1" s="2" t="s">
        <v>46</v>
      </c>
      <c r="BK1" s="2" t="s">
        <v>47</v>
      </c>
      <c r="BL1" s="5" t="s">
        <v>85</v>
      </c>
      <c r="BM1" s="5" t="s">
        <v>48</v>
      </c>
      <c r="BN1" s="5" t="s">
        <v>49</v>
      </c>
      <c r="BO1" s="5" t="s">
        <v>50</v>
      </c>
      <c r="BP1" s="5" t="s">
        <v>51</v>
      </c>
      <c r="BQ1" s="2" t="s">
        <v>52</v>
      </c>
      <c r="BR1" s="2" t="s">
        <v>53</v>
      </c>
      <c r="BS1" s="2" t="s">
        <v>54</v>
      </c>
      <c r="BT1" s="17" t="s">
        <v>55</v>
      </c>
      <c r="BU1" s="17" t="s">
        <v>96</v>
      </c>
      <c r="BV1" s="4" t="s">
        <v>56</v>
      </c>
      <c r="BW1" s="4" t="s">
        <v>57</v>
      </c>
      <c r="BX1" s="4" t="s">
        <v>58</v>
      </c>
      <c r="BY1" s="4" t="s">
        <v>59</v>
      </c>
      <c r="BZ1" s="4" t="s">
        <v>60</v>
      </c>
      <c r="CA1" s="4" t="s">
        <v>61</v>
      </c>
      <c r="CB1" s="4" t="s">
        <v>62</v>
      </c>
      <c r="CC1" s="4" t="s">
        <v>63</v>
      </c>
      <c r="CD1" s="4" t="s">
        <v>64</v>
      </c>
      <c r="CE1" s="4" t="s">
        <v>65</v>
      </c>
      <c r="CF1" s="4" t="s">
        <v>66</v>
      </c>
      <c r="CG1" s="15" t="s">
        <v>86</v>
      </c>
      <c r="CH1" s="16" t="s">
        <v>97</v>
      </c>
    </row>
    <row r="2" spans="1:86" x14ac:dyDescent="0.25">
      <c r="A2" s="6">
        <v>35</v>
      </c>
      <c r="B2" s="7" t="s">
        <v>69</v>
      </c>
      <c r="C2" s="7" t="s">
        <v>69</v>
      </c>
      <c r="D2" s="7"/>
      <c r="E2" s="7"/>
      <c r="F2" s="7"/>
      <c r="G2" s="7"/>
      <c r="H2" s="7"/>
      <c r="I2" s="7"/>
      <c r="J2" s="7"/>
      <c r="K2" s="7" t="s">
        <v>69</v>
      </c>
      <c r="L2" s="7" t="s">
        <v>69</v>
      </c>
      <c r="M2" s="7" t="s">
        <v>69</v>
      </c>
      <c r="N2" s="7" t="s">
        <v>69</v>
      </c>
      <c r="O2" s="7" t="s">
        <v>69</v>
      </c>
      <c r="P2" s="7" t="s">
        <v>69</v>
      </c>
      <c r="Q2" s="7" t="s">
        <v>69</v>
      </c>
      <c r="R2" s="7" t="s">
        <v>69</v>
      </c>
      <c r="S2" s="41" t="s">
        <v>69</v>
      </c>
      <c r="T2" s="41" t="s">
        <v>69</v>
      </c>
      <c r="U2" s="8">
        <f>IFERROR(U3/$A$2,0)</f>
        <v>0</v>
      </c>
      <c r="V2" s="8">
        <f t="shared" ref="V2:BU2" si="0">IFERROR(V3/$A$2,0)</f>
        <v>0</v>
      </c>
      <c r="W2" s="8">
        <f t="shared" si="0"/>
        <v>0</v>
      </c>
      <c r="X2" s="8">
        <f t="shared" si="0"/>
        <v>0</v>
      </c>
      <c r="Y2" s="7">
        <f t="shared" si="0"/>
        <v>0</v>
      </c>
      <c r="Z2" s="7">
        <f t="shared" si="0"/>
        <v>0</v>
      </c>
      <c r="AA2" s="7">
        <f t="shared" si="0"/>
        <v>0</v>
      </c>
      <c r="AB2" s="7">
        <f t="shared" si="0"/>
        <v>0</v>
      </c>
      <c r="AC2" s="8">
        <f t="shared" si="0"/>
        <v>0</v>
      </c>
      <c r="AD2" s="8">
        <f t="shared" si="0"/>
        <v>0</v>
      </c>
      <c r="AE2" s="8">
        <f t="shared" si="0"/>
        <v>0</v>
      </c>
      <c r="AF2" s="8">
        <f t="shared" si="0"/>
        <v>0</v>
      </c>
      <c r="AG2" s="8">
        <f t="shared" si="0"/>
        <v>0</v>
      </c>
      <c r="AH2" s="7">
        <f t="shared" si="0"/>
        <v>0</v>
      </c>
      <c r="AI2" s="7">
        <f t="shared" si="0"/>
        <v>0</v>
      </c>
      <c r="AJ2" s="7">
        <f t="shared" si="0"/>
        <v>0</v>
      </c>
      <c r="AK2" s="7">
        <f t="shared" si="0"/>
        <v>0</v>
      </c>
      <c r="AL2" s="8">
        <f t="shared" si="0"/>
        <v>0</v>
      </c>
      <c r="AM2" s="7">
        <f t="shared" si="0"/>
        <v>0</v>
      </c>
      <c r="AN2" s="8">
        <f t="shared" si="0"/>
        <v>0</v>
      </c>
      <c r="AO2" s="8">
        <f t="shared" si="0"/>
        <v>0</v>
      </c>
      <c r="AP2" s="8">
        <f t="shared" si="0"/>
        <v>0</v>
      </c>
      <c r="AQ2" s="7">
        <f t="shared" si="0"/>
        <v>0</v>
      </c>
      <c r="AR2" s="7">
        <f t="shared" si="0"/>
        <v>0</v>
      </c>
      <c r="AS2" s="7">
        <f t="shared" si="0"/>
        <v>0</v>
      </c>
      <c r="AT2" s="7">
        <f t="shared" si="0"/>
        <v>0</v>
      </c>
      <c r="AU2" s="8">
        <f t="shared" si="0"/>
        <v>0</v>
      </c>
      <c r="AV2" s="8">
        <f t="shared" si="0"/>
        <v>0</v>
      </c>
      <c r="AW2" s="8">
        <f t="shared" si="0"/>
        <v>0</v>
      </c>
      <c r="AX2" s="8">
        <f t="shared" si="0"/>
        <v>0</v>
      </c>
      <c r="AY2" s="7">
        <f t="shared" si="0"/>
        <v>0</v>
      </c>
      <c r="AZ2" s="7">
        <f t="shared" si="0"/>
        <v>0</v>
      </c>
      <c r="BA2" s="7">
        <f t="shared" si="0"/>
        <v>0</v>
      </c>
      <c r="BB2" s="7">
        <f t="shared" si="0"/>
        <v>0</v>
      </c>
      <c r="BC2" s="7">
        <f t="shared" si="0"/>
        <v>0</v>
      </c>
      <c r="BD2" s="8">
        <f t="shared" si="0"/>
        <v>0</v>
      </c>
      <c r="BE2" s="8">
        <f t="shared" si="0"/>
        <v>0</v>
      </c>
      <c r="BF2" s="8">
        <f t="shared" si="0"/>
        <v>0</v>
      </c>
      <c r="BG2" s="8">
        <f t="shared" si="0"/>
        <v>0</v>
      </c>
      <c r="BH2" s="7">
        <f t="shared" si="0"/>
        <v>0</v>
      </c>
      <c r="BI2" s="7">
        <f t="shared" si="0"/>
        <v>0</v>
      </c>
      <c r="BJ2" s="7">
        <f t="shared" si="0"/>
        <v>0</v>
      </c>
      <c r="BK2" s="7">
        <f t="shared" si="0"/>
        <v>0</v>
      </c>
      <c r="BL2" s="8">
        <f t="shared" si="0"/>
        <v>0</v>
      </c>
      <c r="BM2" s="8">
        <f t="shared" si="0"/>
        <v>0</v>
      </c>
      <c r="BN2" s="8">
        <f t="shared" si="0"/>
        <v>0</v>
      </c>
      <c r="BO2" s="8">
        <f t="shared" si="0"/>
        <v>0</v>
      </c>
      <c r="BP2" s="8">
        <f t="shared" si="0"/>
        <v>0</v>
      </c>
      <c r="BQ2" s="7">
        <f t="shared" si="0"/>
        <v>0</v>
      </c>
      <c r="BR2" s="7">
        <f t="shared" si="0"/>
        <v>0</v>
      </c>
      <c r="BS2" s="7">
        <f t="shared" si="0"/>
        <v>0</v>
      </c>
      <c r="BT2" s="7">
        <f t="shared" si="0"/>
        <v>0</v>
      </c>
      <c r="BU2" s="7">
        <f t="shared" si="0"/>
        <v>0</v>
      </c>
      <c r="BV2" s="22">
        <f>BV3/($A$2*COUNTIF(U1:BU1,"*Jan*"))</f>
        <v>0</v>
      </c>
      <c r="BW2" s="21">
        <f>BW3/($A$2*COUNTIF(U1:BU1,"*Fév*"))</f>
        <v>0</v>
      </c>
      <c r="BX2" s="23">
        <f>BX3/($A$2*COUNTIF(U1:BU1,"*Mars*"))</f>
        <v>0</v>
      </c>
      <c r="BY2" s="21">
        <f>BY3/($A$2*COUNTIF(U1:BU1,"*Avr*"))</f>
        <v>0</v>
      </c>
      <c r="BZ2" s="23">
        <f>BZ3/($A$2*COUNTIF(U1:BU1,"*Mai*"))</f>
        <v>0</v>
      </c>
      <c r="CA2" s="21">
        <f>CA3/($A$2*COUNTIF(U1:BU1,"*Juin*"))</f>
        <v>0</v>
      </c>
      <c r="CB2" s="23">
        <f>CB3/($A$2*COUNTIF(U1:BU1,"*Juill*"))</f>
        <v>0</v>
      </c>
      <c r="CC2" s="21">
        <f>CC3/($A$2*COUNTIF(U1:BU1,"*Août*"))</f>
        <v>0</v>
      </c>
      <c r="CD2" s="23">
        <f>CD3/($A$2*COUNTIF(U1:BU1,"*Sept*"))</f>
        <v>0</v>
      </c>
      <c r="CE2" s="21">
        <f>CE3/($A$2*COUNTIF(U1:BU1,"*Oct*"))</f>
        <v>0</v>
      </c>
      <c r="CF2" s="23">
        <f>CF3/($A$2*COUNTIF(U1:BU1,"*Nov*"))</f>
        <v>0</v>
      </c>
      <c r="CG2" s="21">
        <f>CG3/($A$2*COUNTIF(U1:BU1,"*Dec*"))</f>
        <v>0</v>
      </c>
      <c r="CH2" s="19">
        <f>CH3/($A$2*53)</f>
        <v>0</v>
      </c>
    </row>
    <row r="3" spans="1:86" x14ac:dyDescent="0.25">
      <c r="A3" s="9" t="s">
        <v>67</v>
      </c>
      <c r="B3" s="9" t="s">
        <v>69</v>
      </c>
      <c r="C3" s="7" t="s">
        <v>69</v>
      </c>
      <c r="D3" s="7"/>
      <c r="E3" s="7"/>
      <c r="F3" s="7"/>
      <c r="G3" s="7"/>
      <c r="H3" s="7"/>
      <c r="I3" s="7"/>
      <c r="J3" s="7"/>
      <c r="K3" s="7" t="s">
        <v>69</v>
      </c>
      <c r="L3" s="7" t="s">
        <v>69</v>
      </c>
      <c r="M3" s="7" t="s">
        <v>69</v>
      </c>
      <c r="N3" s="7" t="s">
        <v>69</v>
      </c>
      <c r="O3" s="7" t="s">
        <v>69</v>
      </c>
      <c r="P3" s="7" t="s">
        <v>69</v>
      </c>
      <c r="Q3" s="7" t="s">
        <v>69</v>
      </c>
      <c r="R3" s="7" t="s">
        <v>69</v>
      </c>
      <c r="S3" s="41" t="s">
        <v>69</v>
      </c>
      <c r="T3" s="41" t="s">
        <v>69</v>
      </c>
      <c r="U3" s="11">
        <f t="shared" ref="U3:AZ3" si="1">SUM(U4:U1048576)</f>
        <v>0</v>
      </c>
      <c r="V3" s="11">
        <f t="shared" si="1"/>
        <v>0</v>
      </c>
      <c r="W3" s="11">
        <f t="shared" si="1"/>
        <v>0</v>
      </c>
      <c r="X3" s="11">
        <f t="shared" si="1"/>
        <v>0</v>
      </c>
      <c r="Y3" s="11">
        <f t="shared" si="1"/>
        <v>0</v>
      </c>
      <c r="Z3" s="11">
        <f t="shared" si="1"/>
        <v>0</v>
      </c>
      <c r="AA3" s="11">
        <f t="shared" si="1"/>
        <v>0</v>
      </c>
      <c r="AB3" s="11">
        <f t="shared" si="1"/>
        <v>0</v>
      </c>
      <c r="AC3" s="11">
        <f t="shared" si="1"/>
        <v>0</v>
      </c>
      <c r="AD3" s="11">
        <f t="shared" si="1"/>
        <v>0</v>
      </c>
      <c r="AE3" s="11">
        <f t="shared" si="1"/>
        <v>0</v>
      </c>
      <c r="AF3" s="11">
        <f t="shared" si="1"/>
        <v>0</v>
      </c>
      <c r="AG3" s="11">
        <f t="shared" si="1"/>
        <v>0</v>
      </c>
      <c r="AH3" s="11">
        <f t="shared" si="1"/>
        <v>0</v>
      </c>
      <c r="AI3" s="11">
        <f t="shared" si="1"/>
        <v>0</v>
      </c>
      <c r="AJ3" s="11">
        <f t="shared" si="1"/>
        <v>0</v>
      </c>
      <c r="AK3" s="11">
        <f t="shared" si="1"/>
        <v>0</v>
      </c>
      <c r="AL3" s="11">
        <f t="shared" si="1"/>
        <v>0</v>
      </c>
      <c r="AM3" s="11">
        <f t="shared" si="1"/>
        <v>0</v>
      </c>
      <c r="AN3" s="11">
        <f t="shared" si="1"/>
        <v>0</v>
      </c>
      <c r="AO3" s="11">
        <f t="shared" si="1"/>
        <v>0</v>
      </c>
      <c r="AP3" s="11">
        <f t="shared" si="1"/>
        <v>0</v>
      </c>
      <c r="AQ3" s="11">
        <f t="shared" si="1"/>
        <v>0</v>
      </c>
      <c r="AR3" s="11">
        <f t="shared" si="1"/>
        <v>0</v>
      </c>
      <c r="AS3" s="11">
        <f t="shared" si="1"/>
        <v>0</v>
      </c>
      <c r="AT3" s="11">
        <f t="shared" si="1"/>
        <v>0</v>
      </c>
      <c r="AU3" s="11">
        <f t="shared" si="1"/>
        <v>0</v>
      </c>
      <c r="AV3" s="11">
        <f t="shared" si="1"/>
        <v>0</v>
      </c>
      <c r="AW3" s="11">
        <f t="shared" si="1"/>
        <v>0</v>
      </c>
      <c r="AX3" s="11">
        <f t="shared" si="1"/>
        <v>0</v>
      </c>
      <c r="AY3" s="11">
        <f t="shared" si="1"/>
        <v>0</v>
      </c>
      <c r="AZ3" s="11">
        <f t="shared" si="1"/>
        <v>0</v>
      </c>
      <c r="BA3" s="11">
        <f t="shared" ref="BA3:BU3" si="2">SUM(BA4:BA1048576)</f>
        <v>0</v>
      </c>
      <c r="BB3" s="11">
        <f t="shared" si="2"/>
        <v>0</v>
      </c>
      <c r="BC3" s="11">
        <f t="shared" si="2"/>
        <v>0</v>
      </c>
      <c r="BD3" s="11">
        <f t="shared" si="2"/>
        <v>0</v>
      </c>
      <c r="BE3" s="11">
        <f t="shared" si="2"/>
        <v>0</v>
      </c>
      <c r="BF3" s="11">
        <f t="shared" si="2"/>
        <v>0</v>
      </c>
      <c r="BG3" s="11">
        <f t="shared" si="2"/>
        <v>0</v>
      </c>
      <c r="BH3" s="11">
        <f t="shared" si="2"/>
        <v>0</v>
      </c>
      <c r="BI3" s="11">
        <f t="shared" si="2"/>
        <v>0</v>
      </c>
      <c r="BJ3" s="11">
        <f t="shared" si="2"/>
        <v>0</v>
      </c>
      <c r="BK3" s="11">
        <f t="shared" si="2"/>
        <v>0</v>
      </c>
      <c r="BL3" s="11">
        <f t="shared" si="2"/>
        <v>0</v>
      </c>
      <c r="BM3" s="11">
        <f t="shared" si="2"/>
        <v>0</v>
      </c>
      <c r="BN3" s="11">
        <f t="shared" si="2"/>
        <v>0</v>
      </c>
      <c r="BO3" s="11">
        <f t="shared" si="2"/>
        <v>0</v>
      </c>
      <c r="BP3" s="11">
        <f t="shared" si="2"/>
        <v>0</v>
      </c>
      <c r="BQ3" s="11">
        <f t="shared" si="2"/>
        <v>0</v>
      </c>
      <c r="BR3" s="11">
        <f t="shared" si="2"/>
        <v>0</v>
      </c>
      <c r="BS3" s="11">
        <f t="shared" si="2"/>
        <v>0</v>
      </c>
      <c r="BT3" s="11">
        <f t="shared" si="2"/>
        <v>0</v>
      </c>
      <c r="BU3" s="11">
        <f t="shared" si="2"/>
        <v>0</v>
      </c>
      <c r="BV3" s="10">
        <f t="shared" ref="BV3:CG3" si="3">SUM(BV4:BV995)</f>
        <v>0</v>
      </c>
      <c r="BW3" s="10">
        <f t="shared" si="3"/>
        <v>0</v>
      </c>
      <c r="BX3" s="10">
        <f t="shared" si="3"/>
        <v>0</v>
      </c>
      <c r="BY3" s="10">
        <f t="shared" si="3"/>
        <v>0</v>
      </c>
      <c r="BZ3" s="10">
        <f t="shared" si="3"/>
        <v>0</v>
      </c>
      <c r="CA3" s="10">
        <f t="shared" si="3"/>
        <v>0</v>
      </c>
      <c r="CB3" s="10">
        <f t="shared" si="3"/>
        <v>0</v>
      </c>
      <c r="CC3" s="10">
        <f t="shared" si="3"/>
        <v>0</v>
      </c>
      <c r="CD3" s="10">
        <f t="shared" si="3"/>
        <v>0</v>
      </c>
      <c r="CE3" s="10">
        <f t="shared" si="3"/>
        <v>0</v>
      </c>
      <c r="CF3" s="10">
        <f t="shared" si="3"/>
        <v>0</v>
      </c>
      <c r="CG3" s="10">
        <f t="shared" si="3"/>
        <v>0</v>
      </c>
      <c r="CH3" s="18">
        <f>SUM(BV3:CG3)</f>
        <v>0</v>
      </c>
    </row>
    <row r="4" spans="1:86" x14ac:dyDescent="0.25">
      <c r="A4" s="1"/>
      <c r="B4" s="26">
        <v>1000</v>
      </c>
      <c r="C4" s="12" t="s">
        <v>73</v>
      </c>
      <c r="D4" s="12"/>
      <c r="E4" s="12"/>
      <c r="F4" s="12"/>
      <c r="G4" s="12"/>
      <c r="H4" s="12"/>
      <c r="I4" s="12"/>
      <c r="J4" s="12"/>
      <c r="K4" s="28" t="s">
        <v>69</v>
      </c>
      <c r="L4" s="28" t="s">
        <v>69</v>
      </c>
      <c r="M4" s="28" t="s">
        <v>69</v>
      </c>
      <c r="N4" s="29" t="s">
        <v>69</v>
      </c>
      <c r="O4" s="29" t="s">
        <v>69</v>
      </c>
      <c r="P4" s="28" t="s">
        <v>69</v>
      </c>
      <c r="Q4" s="30" t="s">
        <v>69</v>
      </c>
      <c r="R4" s="30" t="s">
        <v>69</v>
      </c>
      <c r="S4" s="42" t="s">
        <v>69</v>
      </c>
      <c r="T4" s="42" t="s">
        <v>69</v>
      </c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20">
        <f>SUMIF($U$1:$BU$1,"*Jan*",$U4:$BU4)</f>
        <v>0</v>
      </c>
      <c r="BW4" s="20">
        <f>SUMIF($U$1:$BU$1,"*Fév*",$U4:$BU4)</f>
        <v>0</v>
      </c>
      <c r="BX4" s="20">
        <f>SUMIF($U$1:$BU$1,"*Mars*",$U4:$BU4)</f>
        <v>0</v>
      </c>
      <c r="BY4" s="20">
        <f>SUMIF($U$1:$BU$1,"*Avr*",$U4:$BU4)</f>
        <v>0</v>
      </c>
      <c r="BZ4" s="20">
        <f>SUMIF($U$1:$BU$1,"*Mai*",$U4:$BU4)</f>
        <v>0</v>
      </c>
      <c r="CA4" s="20">
        <f>SUMIF($U$1:$BU$1,"*Juin*",$U4:$BU4)</f>
        <v>0</v>
      </c>
      <c r="CB4" s="20">
        <f>SUMIF($U$1:$BU$1,"*Juill*",$U4:$BU4)</f>
        <v>0</v>
      </c>
      <c r="CC4" s="20">
        <f>SUMIF($U$1:$BU$1,"*Août*",$U4:$BU4)</f>
        <v>0</v>
      </c>
      <c r="CD4" s="20">
        <f>SUMIF($U$1:$BU$1,"*Sept*",$U4:$BU4)</f>
        <v>0</v>
      </c>
      <c r="CE4" s="20">
        <f>SUMIF($U$1:$BU$1,"*Oct*",$U4:$BU4)</f>
        <v>0</v>
      </c>
      <c r="CF4" s="20">
        <f>SUMIF($U$1:$BU$1,"*Nov*",$U4:$BU4)</f>
        <v>0</v>
      </c>
      <c r="CG4" s="20">
        <f>SUMIF($U$1:$BU$1,"*Dec*",$U4:$BU4)</f>
        <v>0</v>
      </c>
      <c r="CH4" s="20">
        <f t="shared" ref="CH4:CH6" si="4">SUM(BV4:CG4)</f>
        <v>0</v>
      </c>
    </row>
    <row r="5" spans="1:86" x14ac:dyDescent="0.25">
      <c r="A5" s="1"/>
      <c r="B5" s="26">
        <v>1001</v>
      </c>
      <c r="C5" s="12" t="s">
        <v>70</v>
      </c>
      <c r="D5" s="12"/>
      <c r="E5" s="12"/>
      <c r="F5" s="12"/>
      <c r="G5" s="12"/>
      <c r="H5" s="12"/>
      <c r="I5" s="12"/>
      <c r="J5" s="12"/>
      <c r="K5" s="28" t="s">
        <v>69</v>
      </c>
      <c r="L5" s="28" t="s">
        <v>69</v>
      </c>
      <c r="M5" s="28" t="s">
        <v>69</v>
      </c>
      <c r="N5" s="29" t="s">
        <v>69</v>
      </c>
      <c r="O5" s="29" t="s">
        <v>69</v>
      </c>
      <c r="P5" s="28" t="s">
        <v>69</v>
      </c>
      <c r="Q5" s="30" t="s">
        <v>69</v>
      </c>
      <c r="R5" s="30" t="s">
        <v>69</v>
      </c>
      <c r="S5" s="42" t="s">
        <v>69</v>
      </c>
      <c r="T5" s="42" t="s">
        <v>69</v>
      </c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20">
        <f t="shared" ref="BV5:BV14" si="5">SUMIF($U$1:$BU$1,"*Jan*",$U5:$BU5)</f>
        <v>0</v>
      </c>
      <c r="BW5" s="20">
        <f t="shared" ref="BW5:BW14" si="6">SUMIF($U$1:$BU$1,"*Fév*",$U5:$BU5)</f>
        <v>0</v>
      </c>
      <c r="BX5" s="20">
        <f t="shared" ref="BX5:BX14" si="7">SUMIF($U$1:$BU$1,"*Mars*",$U5:$BU5)</f>
        <v>0</v>
      </c>
      <c r="BY5" s="20">
        <f t="shared" ref="BY5:BY14" si="8">SUMIF($U$1:$BU$1,"*Avr*",$U5:$BU5)</f>
        <v>0</v>
      </c>
      <c r="BZ5" s="20">
        <f t="shared" ref="BZ5:BZ14" si="9">SUMIF($U$1:$BU$1,"*Mai*",$U5:$BU5)</f>
        <v>0</v>
      </c>
      <c r="CA5" s="20">
        <f t="shared" ref="CA5:CA14" si="10">SUMIF($U$1:$BU$1,"*Juin*",$U5:$BU5)</f>
        <v>0</v>
      </c>
      <c r="CB5" s="20">
        <f t="shared" ref="CB5:CB14" si="11">SUMIF($U$1:$BU$1,"*Juill*",$U5:$BU5)</f>
        <v>0</v>
      </c>
      <c r="CC5" s="20">
        <f t="shared" ref="CC5:CC14" si="12">SUMIF($U$1:$BU$1,"*Août*",$U5:$BU5)</f>
        <v>0</v>
      </c>
      <c r="CD5" s="20">
        <f t="shared" ref="CD5:CD14" si="13">SUMIF($U$1:$BU$1,"*Sept*",$U5:$BU5)</f>
        <v>0</v>
      </c>
      <c r="CE5" s="20">
        <f t="shared" ref="CE5:CE14" si="14">SUMIF($U$1:$BU$1,"*Oct*",$U5:$BU5)</f>
        <v>0</v>
      </c>
      <c r="CF5" s="20">
        <f t="shared" ref="CF5:CF14" si="15">SUMIF($U$1:$BU$1,"*Nov*",$U5:$BU5)</f>
        <v>0</v>
      </c>
      <c r="CG5" s="20">
        <f t="shared" ref="CG5:CG14" si="16">SUMIF($U$1:$BU$1,"*Dec*",$U5:$BU5)</f>
        <v>0</v>
      </c>
      <c r="CH5" s="20">
        <f t="shared" si="4"/>
        <v>0</v>
      </c>
    </row>
    <row r="6" spans="1:86" x14ac:dyDescent="0.25">
      <c r="A6" s="1"/>
      <c r="B6" s="26">
        <v>1002</v>
      </c>
      <c r="C6" s="12" t="s">
        <v>71</v>
      </c>
      <c r="D6" s="12"/>
      <c r="E6" s="12"/>
      <c r="F6" s="12"/>
      <c r="G6" s="12"/>
      <c r="H6" s="12"/>
      <c r="I6" s="12"/>
      <c r="J6" s="12"/>
      <c r="K6" s="28" t="s">
        <v>69</v>
      </c>
      <c r="L6" s="28" t="s">
        <v>69</v>
      </c>
      <c r="M6" s="28" t="s">
        <v>69</v>
      </c>
      <c r="N6" s="29" t="s">
        <v>69</v>
      </c>
      <c r="O6" s="29" t="s">
        <v>69</v>
      </c>
      <c r="P6" s="28" t="s">
        <v>69</v>
      </c>
      <c r="Q6" s="30" t="s">
        <v>69</v>
      </c>
      <c r="R6" s="30" t="s">
        <v>69</v>
      </c>
      <c r="S6" s="42" t="s">
        <v>69</v>
      </c>
      <c r="T6" s="42" t="s">
        <v>69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20">
        <f t="shared" si="5"/>
        <v>0</v>
      </c>
      <c r="BW6" s="20">
        <f t="shared" si="6"/>
        <v>0</v>
      </c>
      <c r="BX6" s="20">
        <f t="shared" si="7"/>
        <v>0</v>
      </c>
      <c r="BY6" s="20">
        <f t="shared" si="8"/>
        <v>0</v>
      </c>
      <c r="BZ6" s="20">
        <f t="shared" si="9"/>
        <v>0</v>
      </c>
      <c r="CA6" s="20">
        <f t="shared" si="10"/>
        <v>0</v>
      </c>
      <c r="CB6" s="20">
        <f t="shared" si="11"/>
        <v>0</v>
      </c>
      <c r="CC6" s="20">
        <f t="shared" si="12"/>
        <v>0</v>
      </c>
      <c r="CD6" s="20">
        <f t="shared" si="13"/>
        <v>0</v>
      </c>
      <c r="CE6" s="20">
        <f t="shared" si="14"/>
        <v>0</v>
      </c>
      <c r="CF6" s="20">
        <f t="shared" si="15"/>
        <v>0</v>
      </c>
      <c r="CG6" s="20">
        <f t="shared" si="16"/>
        <v>0</v>
      </c>
      <c r="CH6" s="20">
        <f t="shared" si="4"/>
        <v>0</v>
      </c>
    </row>
    <row r="7" spans="1:86" x14ac:dyDescent="0.25">
      <c r="A7" s="1"/>
      <c r="B7" s="26">
        <v>1003</v>
      </c>
      <c r="C7" s="12" t="s">
        <v>74</v>
      </c>
      <c r="D7" s="12"/>
      <c r="E7" s="12"/>
      <c r="F7" s="12"/>
      <c r="G7" s="12"/>
      <c r="H7" s="12"/>
      <c r="I7" s="12"/>
      <c r="J7" s="12"/>
      <c r="K7" s="28" t="s">
        <v>69</v>
      </c>
      <c r="L7" s="28" t="s">
        <v>69</v>
      </c>
      <c r="M7" s="28" t="s">
        <v>69</v>
      </c>
      <c r="N7" s="29" t="s">
        <v>69</v>
      </c>
      <c r="O7" s="29" t="s">
        <v>69</v>
      </c>
      <c r="P7" s="28" t="s">
        <v>69</v>
      </c>
      <c r="Q7" s="30" t="s">
        <v>69</v>
      </c>
      <c r="R7" s="30" t="s">
        <v>69</v>
      </c>
      <c r="S7" s="42" t="s">
        <v>69</v>
      </c>
      <c r="T7" s="42" t="s">
        <v>69</v>
      </c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20">
        <f t="shared" si="5"/>
        <v>0</v>
      </c>
      <c r="BW7" s="20">
        <f t="shared" si="6"/>
        <v>0</v>
      </c>
      <c r="BX7" s="20">
        <f t="shared" si="7"/>
        <v>0</v>
      </c>
      <c r="BY7" s="20">
        <f t="shared" si="8"/>
        <v>0</v>
      </c>
      <c r="BZ7" s="20">
        <f t="shared" si="9"/>
        <v>0</v>
      </c>
      <c r="CA7" s="20">
        <f t="shared" si="10"/>
        <v>0</v>
      </c>
      <c r="CB7" s="20">
        <f t="shared" si="11"/>
        <v>0</v>
      </c>
      <c r="CC7" s="20">
        <f t="shared" si="12"/>
        <v>0</v>
      </c>
      <c r="CD7" s="20">
        <f t="shared" si="13"/>
        <v>0</v>
      </c>
      <c r="CE7" s="20">
        <f t="shared" si="14"/>
        <v>0</v>
      </c>
      <c r="CF7" s="20">
        <f t="shared" si="15"/>
        <v>0</v>
      </c>
      <c r="CG7" s="20">
        <f t="shared" si="16"/>
        <v>0</v>
      </c>
      <c r="CH7" s="20">
        <f>SUM(BV7:CG7)</f>
        <v>0</v>
      </c>
    </row>
    <row r="8" spans="1:86" x14ac:dyDescent="0.25">
      <c r="A8" s="1"/>
      <c r="B8" s="26">
        <v>1004</v>
      </c>
      <c r="C8" s="12" t="s">
        <v>75</v>
      </c>
      <c r="D8" s="12"/>
      <c r="E8" s="12"/>
      <c r="F8" s="12"/>
      <c r="G8" s="12"/>
      <c r="H8" s="12"/>
      <c r="I8" s="12"/>
      <c r="J8" s="12"/>
      <c r="K8" s="28" t="s">
        <v>69</v>
      </c>
      <c r="L8" s="28" t="s">
        <v>69</v>
      </c>
      <c r="M8" s="28" t="s">
        <v>69</v>
      </c>
      <c r="N8" s="29" t="s">
        <v>69</v>
      </c>
      <c r="O8" s="29" t="s">
        <v>69</v>
      </c>
      <c r="P8" s="28" t="s">
        <v>69</v>
      </c>
      <c r="Q8" s="30" t="s">
        <v>69</v>
      </c>
      <c r="R8" s="30" t="s">
        <v>69</v>
      </c>
      <c r="S8" s="42" t="s">
        <v>69</v>
      </c>
      <c r="T8" s="42" t="s">
        <v>69</v>
      </c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20">
        <f t="shared" si="5"/>
        <v>0</v>
      </c>
      <c r="BW8" s="20">
        <f t="shared" si="6"/>
        <v>0</v>
      </c>
      <c r="BX8" s="20">
        <f t="shared" si="7"/>
        <v>0</v>
      </c>
      <c r="BY8" s="20">
        <f t="shared" si="8"/>
        <v>0</v>
      </c>
      <c r="BZ8" s="20">
        <f t="shared" si="9"/>
        <v>0</v>
      </c>
      <c r="CA8" s="20">
        <f t="shared" si="10"/>
        <v>0</v>
      </c>
      <c r="CB8" s="20">
        <f t="shared" si="11"/>
        <v>0</v>
      </c>
      <c r="CC8" s="20">
        <f t="shared" si="12"/>
        <v>0</v>
      </c>
      <c r="CD8" s="20">
        <f t="shared" si="13"/>
        <v>0</v>
      </c>
      <c r="CE8" s="20">
        <f t="shared" si="14"/>
        <v>0</v>
      </c>
      <c r="CF8" s="20">
        <f t="shared" si="15"/>
        <v>0</v>
      </c>
      <c r="CG8" s="20">
        <f t="shared" si="16"/>
        <v>0</v>
      </c>
      <c r="CH8" s="20">
        <f>SUM(BV8:CG8)</f>
        <v>0</v>
      </c>
    </row>
    <row r="9" spans="1:86" x14ac:dyDescent="0.25">
      <c r="B9" s="26">
        <v>1005</v>
      </c>
      <c r="C9" s="24" t="s">
        <v>81</v>
      </c>
      <c r="D9" s="24"/>
      <c r="E9" s="24"/>
      <c r="F9" s="24"/>
      <c r="G9" s="24"/>
      <c r="H9" s="24"/>
      <c r="I9" s="24"/>
      <c r="J9" s="24"/>
      <c r="K9" s="28" t="s">
        <v>69</v>
      </c>
      <c r="L9" s="28" t="s">
        <v>69</v>
      </c>
      <c r="M9" s="28" t="s">
        <v>69</v>
      </c>
      <c r="N9" s="29" t="s">
        <v>69</v>
      </c>
      <c r="O9" s="29" t="s">
        <v>69</v>
      </c>
      <c r="P9" s="28" t="s">
        <v>69</v>
      </c>
      <c r="Q9" s="30" t="s">
        <v>69</v>
      </c>
      <c r="R9" s="30" t="s">
        <v>69</v>
      </c>
      <c r="S9" s="42" t="s">
        <v>69</v>
      </c>
      <c r="T9" s="42" t="s">
        <v>69</v>
      </c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20">
        <f t="shared" si="5"/>
        <v>0</v>
      </c>
      <c r="BW9" s="20">
        <f t="shared" si="6"/>
        <v>0</v>
      </c>
      <c r="BX9" s="20">
        <f t="shared" si="7"/>
        <v>0</v>
      </c>
      <c r="BY9" s="20">
        <f t="shared" si="8"/>
        <v>0</v>
      </c>
      <c r="BZ9" s="20">
        <f t="shared" si="9"/>
        <v>0</v>
      </c>
      <c r="CA9" s="20">
        <f t="shared" si="10"/>
        <v>0</v>
      </c>
      <c r="CB9" s="20">
        <f t="shared" si="11"/>
        <v>0</v>
      </c>
      <c r="CC9" s="20">
        <f t="shared" si="12"/>
        <v>0</v>
      </c>
      <c r="CD9" s="20">
        <f t="shared" si="13"/>
        <v>0</v>
      </c>
      <c r="CE9" s="20">
        <f t="shared" si="14"/>
        <v>0</v>
      </c>
      <c r="CF9" s="20">
        <f t="shared" si="15"/>
        <v>0</v>
      </c>
      <c r="CG9" s="20">
        <f t="shared" si="16"/>
        <v>0</v>
      </c>
      <c r="CH9" s="20">
        <f t="shared" ref="CH9:CH14" si="17">SUM(BV9:CG9)</f>
        <v>0</v>
      </c>
    </row>
    <row r="10" spans="1:86" s="27" customFormat="1" x14ac:dyDescent="0.25">
      <c r="B10" s="26">
        <v>1006</v>
      </c>
      <c r="C10" s="24" t="s">
        <v>68</v>
      </c>
      <c r="D10" s="24"/>
      <c r="E10" s="24"/>
      <c r="F10" s="24"/>
      <c r="G10" s="24"/>
      <c r="H10" s="24"/>
      <c r="I10" s="24"/>
      <c r="J10" s="24"/>
      <c r="K10" s="28" t="s">
        <v>69</v>
      </c>
      <c r="L10" s="28" t="s">
        <v>69</v>
      </c>
      <c r="M10" s="28" t="s">
        <v>69</v>
      </c>
      <c r="N10" s="29" t="s">
        <v>69</v>
      </c>
      <c r="O10" s="29" t="s">
        <v>69</v>
      </c>
      <c r="P10" s="28" t="s">
        <v>69</v>
      </c>
      <c r="Q10" s="30" t="s">
        <v>69</v>
      </c>
      <c r="R10" s="30" t="s">
        <v>69</v>
      </c>
      <c r="S10" s="42" t="s">
        <v>69</v>
      </c>
      <c r="T10" s="42" t="s">
        <v>69</v>
      </c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20">
        <f t="shared" si="5"/>
        <v>0</v>
      </c>
      <c r="BW10" s="20">
        <f t="shared" si="6"/>
        <v>0</v>
      </c>
      <c r="BX10" s="20">
        <f t="shared" si="7"/>
        <v>0</v>
      </c>
      <c r="BY10" s="20">
        <f t="shared" si="8"/>
        <v>0</v>
      </c>
      <c r="BZ10" s="20">
        <f t="shared" si="9"/>
        <v>0</v>
      </c>
      <c r="CA10" s="20">
        <f t="shared" si="10"/>
        <v>0</v>
      </c>
      <c r="CB10" s="20">
        <f t="shared" si="11"/>
        <v>0</v>
      </c>
      <c r="CC10" s="20">
        <f t="shared" si="12"/>
        <v>0</v>
      </c>
      <c r="CD10" s="20">
        <f t="shared" si="13"/>
        <v>0</v>
      </c>
      <c r="CE10" s="20">
        <f t="shared" si="14"/>
        <v>0</v>
      </c>
      <c r="CF10" s="20">
        <f t="shared" si="15"/>
        <v>0</v>
      </c>
      <c r="CG10" s="20">
        <f t="shared" si="16"/>
        <v>0</v>
      </c>
      <c r="CH10" s="20">
        <f t="shared" si="17"/>
        <v>0</v>
      </c>
    </row>
    <row r="11" spans="1:86" s="27" customFormat="1" x14ac:dyDescent="0.25">
      <c r="B11" s="26">
        <v>1007</v>
      </c>
      <c r="C11" s="24" t="s">
        <v>76</v>
      </c>
      <c r="D11" s="24"/>
      <c r="E11" s="24"/>
      <c r="F11" s="24"/>
      <c r="G11" s="24"/>
      <c r="H11" s="24"/>
      <c r="I11" s="24"/>
      <c r="J11" s="24"/>
      <c r="K11" s="28" t="s">
        <v>69</v>
      </c>
      <c r="L11" s="28" t="s">
        <v>69</v>
      </c>
      <c r="M11" s="28" t="s">
        <v>69</v>
      </c>
      <c r="N11" s="29" t="s">
        <v>69</v>
      </c>
      <c r="O11" s="29" t="s">
        <v>69</v>
      </c>
      <c r="P11" s="28" t="s">
        <v>69</v>
      </c>
      <c r="Q11" s="30" t="s">
        <v>69</v>
      </c>
      <c r="R11" s="30" t="s">
        <v>69</v>
      </c>
      <c r="S11" s="42" t="s">
        <v>69</v>
      </c>
      <c r="T11" s="42" t="s">
        <v>69</v>
      </c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20">
        <f t="shared" si="5"/>
        <v>0</v>
      </c>
      <c r="BW11" s="20">
        <f t="shared" si="6"/>
        <v>0</v>
      </c>
      <c r="BX11" s="20">
        <f t="shared" si="7"/>
        <v>0</v>
      </c>
      <c r="BY11" s="20">
        <f t="shared" si="8"/>
        <v>0</v>
      </c>
      <c r="BZ11" s="20">
        <f t="shared" si="9"/>
        <v>0</v>
      </c>
      <c r="CA11" s="20">
        <f t="shared" si="10"/>
        <v>0</v>
      </c>
      <c r="CB11" s="20">
        <f t="shared" si="11"/>
        <v>0</v>
      </c>
      <c r="CC11" s="20">
        <f t="shared" si="12"/>
        <v>0</v>
      </c>
      <c r="CD11" s="20">
        <f t="shared" si="13"/>
        <v>0</v>
      </c>
      <c r="CE11" s="20">
        <f t="shared" si="14"/>
        <v>0</v>
      </c>
      <c r="CF11" s="20">
        <f t="shared" si="15"/>
        <v>0</v>
      </c>
      <c r="CG11" s="20">
        <f t="shared" si="16"/>
        <v>0</v>
      </c>
      <c r="CH11" s="20">
        <f t="shared" si="17"/>
        <v>0</v>
      </c>
    </row>
    <row r="12" spans="1:86" s="27" customFormat="1" x14ac:dyDescent="0.25">
      <c r="B12" s="26">
        <v>1008</v>
      </c>
      <c r="C12" s="24" t="s">
        <v>77</v>
      </c>
      <c r="D12" s="24"/>
      <c r="E12" s="24"/>
      <c r="F12" s="24"/>
      <c r="G12" s="24"/>
      <c r="H12" s="24"/>
      <c r="I12" s="24"/>
      <c r="J12" s="24"/>
      <c r="K12" s="28" t="s">
        <v>69</v>
      </c>
      <c r="L12" s="28" t="s">
        <v>69</v>
      </c>
      <c r="M12" s="28" t="s">
        <v>69</v>
      </c>
      <c r="N12" s="29" t="s">
        <v>69</v>
      </c>
      <c r="O12" s="29" t="s">
        <v>69</v>
      </c>
      <c r="P12" s="28" t="s">
        <v>69</v>
      </c>
      <c r="Q12" s="30" t="s">
        <v>69</v>
      </c>
      <c r="R12" s="30" t="s">
        <v>69</v>
      </c>
      <c r="S12" s="42" t="s">
        <v>69</v>
      </c>
      <c r="T12" s="42" t="s">
        <v>69</v>
      </c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20">
        <f t="shared" si="5"/>
        <v>0</v>
      </c>
      <c r="BW12" s="20">
        <f t="shared" si="6"/>
        <v>0</v>
      </c>
      <c r="BX12" s="20">
        <f t="shared" si="7"/>
        <v>0</v>
      </c>
      <c r="BY12" s="20">
        <f t="shared" si="8"/>
        <v>0</v>
      </c>
      <c r="BZ12" s="20">
        <f t="shared" si="9"/>
        <v>0</v>
      </c>
      <c r="CA12" s="20">
        <f t="shared" si="10"/>
        <v>0</v>
      </c>
      <c r="CB12" s="20">
        <f t="shared" si="11"/>
        <v>0</v>
      </c>
      <c r="CC12" s="20">
        <f t="shared" si="12"/>
        <v>0</v>
      </c>
      <c r="CD12" s="20">
        <f t="shared" si="13"/>
        <v>0</v>
      </c>
      <c r="CE12" s="20">
        <f t="shared" si="14"/>
        <v>0</v>
      </c>
      <c r="CF12" s="20">
        <f t="shared" si="15"/>
        <v>0</v>
      </c>
      <c r="CG12" s="20">
        <f t="shared" si="16"/>
        <v>0</v>
      </c>
      <c r="CH12" s="20">
        <f t="shared" si="17"/>
        <v>0</v>
      </c>
    </row>
    <row r="13" spans="1:86" s="27" customFormat="1" x14ac:dyDescent="0.25">
      <c r="B13" s="26">
        <v>1009</v>
      </c>
      <c r="C13" s="24" t="s">
        <v>78</v>
      </c>
      <c r="D13" s="24"/>
      <c r="E13" s="24"/>
      <c r="F13" s="24"/>
      <c r="G13" s="24"/>
      <c r="H13" s="24"/>
      <c r="I13" s="24"/>
      <c r="J13" s="24"/>
      <c r="K13" s="28" t="s">
        <v>69</v>
      </c>
      <c r="L13" s="28" t="s">
        <v>69</v>
      </c>
      <c r="M13" s="28" t="s">
        <v>69</v>
      </c>
      <c r="N13" s="29" t="s">
        <v>69</v>
      </c>
      <c r="O13" s="29" t="s">
        <v>69</v>
      </c>
      <c r="P13" s="28" t="s">
        <v>69</v>
      </c>
      <c r="Q13" s="30" t="s">
        <v>69</v>
      </c>
      <c r="R13" s="30" t="s">
        <v>69</v>
      </c>
      <c r="S13" s="42" t="s">
        <v>69</v>
      </c>
      <c r="T13" s="42" t="s">
        <v>69</v>
      </c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20">
        <f t="shared" si="5"/>
        <v>0</v>
      </c>
      <c r="BW13" s="20">
        <f t="shared" si="6"/>
        <v>0</v>
      </c>
      <c r="BX13" s="20">
        <f t="shared" si="7"/>
        <v>0</v>
      </c>
      <c r="BY13" s="20">
        <f t="shared" si="8"/>
        <v>0</v>
      </c>
      <c r="BZ13" s="20">
        <f t="shared" si="9"/>
        <v>0</v>
      </c>
      <c r="CA13" s="20">
        <f t="shared" si="10"/>
        <v>0</v>
      </c>
      <c r="CB13" s="20">
        <f t="shared" si="11"/>
        <v>0</v>
      </c>
      <c r="CC13" s="20">
        <f t="shared" si="12"/>
        <v>0</v>
      </c>
      <c r="CD13" s="20">
        <f t="shared" si="13"/>
        <v>0</v>
      </c>
      <c r="CE13" s="20">
        <f t="shared" si="14"/>
        <v>0</v>
      </c>
      <c r="CF13" s="20">
        <f t="shared" si="15"/>
        <v>0</v>
      </c>
      <c r="CG13" s="20">
        <f t="shared" si="16"/>
        <v>0</v>
      </c>
      <c r="CH13" s="20">
        <f t="shared" si="17"/>
        <v>0</v>
      </c>
    </row>
    <row r="14" spans="1:86" s="27" customFormat="1" ht="15.75" thickBot="1" x14ac:dyDescent="0.3">
      <c r="B14" s="32">
        <v>1010</v>
      </c>
      <c r="C14" s="33" t="s">
        <v>79</v>
      </c>
      <c r="D14" s="33"/>
      <c r="E14" s="33"/>
      <c r="F14" s="33"/>
      <c r="G14" s="33"/>
      <c r="H14" s="33"/>
      <c r="I14" s="33"/>
      <c r="J14" s="33"/>
      <c r="K14" s="34" t="s">
        <v>69</v>
      </c>
      <c r="L14" s="34" t="s">
        <v>69</v>
      </c>
      <c r="M14" s="34" t="s">
        <v>69</v>
      </c>
      <c r="N14" s="35" t="s">
        <v>69</v>
      </c>
      <c r="O14" s="35" t="s">
        <v>69</v>
      </c>
      <c r="P14" s="34" t="s">
        <v>69</v>
      </c>
      <c r="Q14" s="36" t="s">
        <v>69</v>
      </c>
      <c r="R14" s="36" t="s">
        <v>69</v>
      </c>
      <c r="S14" s="43" t="s">
        <v>69</v>
      </c>
      <c r="T14" s="43" t="s">
        <v>69</v>
      </c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20">
        <f t="shared" si="5"/>
        <v>0</v>
      </c>
      <c r="BW14" s="20">
        <f t="shared" si="6"/>
        <v>0</v>
      </c>
      <c r="BX14" s="20">
        <f t="shared" si="7"/>
        <v>0</v>
      </c>
      <c r="BY14" s="20">
        <f t="shared" si="8"/>
        <v>0</v>
      </c>
      <c r="BZ14" s="20">
        <f t="shared" si="9"/>
        <v>0</v>
      </c>
      <c r="CA14" s="20">
        <f t="shared" si="10"/>
        <v>0</v>
      </c>
      <c r="CB14" s="20">
        <f t="shared" si="11"/>
        <v>0</v>
      </c>
      <c r="CC14" s="20">
        <f t="shared" si="12"/>
        <v>0</v>
      </c>
      <c r="CD14" s="20">
        <f t="shared" si="13"/>
        <v>0</v>
      </c>
      <c r="CE14" s="20">
        <f t="shared" si="14"/>
        <v>0</v>
      </c>
      <c r="CF14" s="20">
        <f t="shared" si="15"/>
        <v>0</v>
      </c>
      <c r="CG14" s="20">
        <f t="shared" si="16"/>
        <v>0</v>
      </c>
      <c r="CH14" s="20">
        <f t="shared" si="17"/>
        <v>0</v>
      </c>
    </row>
    <row r="15" spans="1:86" ht="15.75" thickTop="1" x14ac:dyDescent="0.25">
      <c r="B15" s="37" t="s">
        <v>69</v>
      </c>
      <c r="C15" s="38" t="s">
        <v>69</v>
      </c>
      <c r="D15" s="38"/>
      <c r="E15" s="38"/>
      <c r="F15" s="38"/>
      <c r="G15" s="38"/>
      <c r="H15" s="38"/>
      <c r="I15" s="38"/>
      <c r="J15" s="38"/>
      <c r="K15" s="39" t="s">
        <v>69</v>
      </c>
      <c r="L15" s="39" t="s">
        <v>69</v>
      </c>
      <c r="M15" s="39" t="s">
        <v>69</v>
      </c>
      <c r="N15" s="39" t="s">
        <v>69</v>
      </c>
      <c r="O15" s="39" t="s">
        <v>69</v>
      </c>
      <c r="P15" s="39" t="s">
        <v>69</v>
      </c>
      <c r="Q15" s="39" t="s">
        <v>69</v>
      </c>
      <c r="R15" s="39" t="s">
        <v>69</v>
      </c>
      <c r="S15" s="44" t="s">
        <v>69</v>
      </c>
      <c r="T15" s="44" t="s">
        <v>69</v>
      </c>
      <c r="U15" s="38" t="s">
        <v>69</v>
      </c>
      <c r="V15" s="38" t="s">
        <v>69</v>
      </c>
      <c r="W15" s="38" t="s">
        <v>69</v>
      </c>
      <c r="X15" s="38" t="s">
        <v>69</v>
      </c>
      <c r="Y15" s="38" t="s">
        <v>69</v>
      </c>
      <c r="Z15" s="38" t="s">
        <v>69</v>
      </c>
      <c r="AA15" s="38" t="s">
        <v>69</v>
      </c>
      <c r="AB15" s="38" t="s">
        <v>69</v>
      </c>
      <c r="AC15" s="38" t="s">
        <v>69</v>
      </c>
      <c r="AD15" s="38" t="s">
        <v>69</v>
      </c>
      <c r="AE15" s="38" t="s">
        <v>69</v>
      </c>
      <c r="AF15" s="38" t="s">
        <v>69</v>
      </c>
      <c r="AG15" s="38" t="s">
        <v>69</v>
      </c>
      <c r="AH15" s="38" t="s">
        <v>69</v>
      </c>
      <c r="AI15" s="38" t="s">
        <v>69</v>
      </c>
      <c r="AJ15" s="38" t="s">
        <v>69</v>
      </c>
      <c r="AK15" s="38" t="s">
        <v>69</v>
      </c>
      <c r="AL15" s="38" t="s">
        <v>69</v>
      </c>
      <c r="AM15" s="38" t="s">
        <v>69</v>
      </c>
      <c r="AN15" s="38" t="s">
        <v>69</v>
      </c>
      <c r="AO15" s="38" t="s">
        <v>69</v>
      </c>
      <c r="AP15" s="38" t="s">
        <v>69</v>
      </c>
      <c r="AQ15" s="38" t="s">
        <v>69</v>
      </c>
      <c r="AR15" s="38" t="s">
        <v>69</v>
      </c>
      <c r="AS15" s="38" t="s">
        <v>69</v>
      </c>
      <c r="AT15" s="38" t="s">
        <v>69</v>
      </c>
      <c r="AU15" s="38" t="s">
        <v>69</v>
      </c>
      <c r="AV15" s="38" t="s">
        <v>69</v>
      </c>
      <c r="AW15" s="38" t="s">
        <v>69</v>
      </c>
      <c r="AX15" s="38" t="s">
        <v>69</v>
      </c>
      <c r="AY15" s="38" t="s">
        <v>69</v>
      </c>
      <c r="AZ15" s="38" t="s">
        <v>69</v>
      </c>
      <c r="BA15" s="38" t="s">
        <v>69</v>
      </c>
      <c r="BB15" s="38" t="s">
        <v>69</v>
      </c>
      <c r="BC15" s="38" t="s">
        <v>69</v>
      </c>
      <c r="BD15" s="38" t="s">
        <v>69</v>
      </c>
      <c r="BE15" s="38" t="s">
        <v>69</v>
      </c>
      <c r="BF15" s="38" t="s">
        <v>69</v>
      </c>
      <c r="BG15" s="38" t="s">
        <v>69</v>
      </c>
      <c r="BH15" s="38" t="s">
        <v>69</v>
      </c>
      <c r="BI15" s="38" t="s">
        <v>69</v>
      </c>
      <c r="BJ15" s="38" t="s">
        <v>69</v>
      </c>
      <c r="BK15" s="38" t="s">
        <v>69</v>
      </c>
      <c r="BL15" s="38" t="s">
        <v>69</v>
      </c>
      <c r="BM15" s="38" t="s">
        <v>69</v>
      </c>
      <c r="BN15" s="38" t="s">
        <v>69</v>
      </c>
      <c r="BO15" s="38" t="s">
        <v>69</v>
      </c>
      <c r="BP15" s="38" t="s">
        <v>69</v>
      </c>
      <c r="BQ15" s="38" t="s">
        <v>69</v>
      </c>
      <c r="BR15" s="38" t="s">
        <v>69</v>
      </c>
      <c r="BS15" s="38" t="s">
        <v>69</v>
      </c>
      <c r="BT15" s="38" t="s">
        <v>69</v>
      </c>
      <c r="BU15" s="38" t="s">
        <v>69</v>
      </c>
      <c r="BV15" s="38" t="s">
        <v>69</v>
      </c>
      <c r="BW15" s="38" t="s">
        <v>69</v>
      </c>
      <c r="BX15" s="38" t="s">
        <v>69</v>
      </c>
      <c r="BY15" s="38" t="s">
        <v>69</v>
      </c>
      <c r="BZ15" s="38" t="s">
        <v>69</v>
      </c>
      <c r="CA15" s="38" t="s">
        <v>69</v>
      </c>
      <c r="CB15" s="38" t="s">
        <v>69</v>
      </c>
      <c r="CC15" s="38" t="s">
        <v>69</v>
      </c>
      <c r="CD15" s="38" t="s">
        <v>69</v>
      </c>
      <c r="CE15" s="38" t="s">
        <v>69</v>
      </c>
      <c r="CF15" s="38" t="s">
        <v>69</v>
      </c>
      <c r="CG15" s="38" t="s">
        <v>69</v>
      </c>
      <c r="CH15" s="38" t="s">
        <v>69</v>
      </c>
    </row>
  </sheetData>
  <conditionalFormatting sqref="D1:I1048576">
    <cfRule type="expression" dxfId="6" priority="6">
      <formula>NOT($D1=SUM($E1+$F1+$G1+$H1+$I1))</formula>
    </cfRule>
  </conditionalFormatting>
  <conditionalFormatting sqref="B1:CH1048576">
    <cfRule type="expression" dxfId="5" priority="5">
      <formula>COUNTIF($Q1,"*Terminé*")&gt;=1</formula>
    </cfRule>
    <cfRule type="expression" dxfId="4" priority="4">
      <formula>NOT($B1="")</formula>
    </cfRule>
  </conditionalFormatting>
  <conditionalFormatting sqref="BV16:CH1048576">
    <cfRule type="expression" dxfId="3" priority="3">
      <formula>NOT($B16="")</formula>
    </cfRule>
  </conditionalFormatting>
  <conditionalFormatting sqref="U1:BU14 U16:BU1048576">
    <cfRule type="expression" dxfId="2" priority="2">
      <formula>AND(NOT($B1=""),OR(COUNTIF(U$1,"*Jan*")=1,COUNTIF(U$1,"*Mars*")=1,COUNTIF(U$1,"*Mai*")=1,COUNTIF(U$1,"*Juil*")=1,COUNTIF(U$1,"*Sept*")=1,COUNTIF(U$1,"*Nov*")=1))</formula>
    </cfRule>
    <cfRule type="expression" dxfId="1" priority="1">
      <formula>AND(NOT($B1=""),OR(COUNTIF(U$1,"*Fév*")=1,COUNTIF(U$1,"*Avr*")=1,COUNTIF(U$1,"*Juin*")=1,COUNTIF(U$1,"*Août*")=1,COUNTIF(U$1,"*Oct*")=1,COUNTIF(U$1,"*Dec*")=1))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BackUp">
                <anchor moveWithCells="1" sizeWithCells="1">
                  <from>
                    <xdr:col>10</xdr:col>
                    <xdr:colOff>38100</xdr:colOff>
                    <xdr:row>3</xdr:row>
                    <xdr:rowOff>95250</xdr:rowOff>
                  </from>
                  <to>
                    <xdr:col>12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r">
                <anchor moveWithCells="1" sizeWithCells="1">
                  <from>
                    <xdr:col>12</xdr:col>
                    <xdr:colOff>361950</xdr:colOff>
                    <xdr:row>3</xdr:row>
                    <xdr:rowOff>85725</xdr:rowOff>
                  </from>
                  <to>
                    <xdr:col>15</xdr:col>
                    <xdr:colOff>76200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t">
                <anchor moveWithCells="1" sizeWithCells="1">
                  <from>
                    <xdr:col>3</xdr:col>
                    <xdr:colOff>323850</xdr:colOff>
                    <xdr:row>3</xdr:row>
                    <xdr:rowOff>180975</xdr:rowOff>
                  </from>
                  <to>
                    <xdr:col>7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0000000-0000-0000-0000-000000000000}">
            <xm:f>D1&lt;Feuil2!D1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D1:E1048576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ManpowerGroup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MOCHET</dc:creator>
  <cp:lastModifiedBy>Cyril MOCHET</cp:lastModifiedBy>
  <dcterms:created xsi:type="dcterms:W3CDTF">2018-11-08T10:06:31Z</dcterms:created>
  <dcterms:modified xsi:type="dcterms:W3CDTF">2020-03-13T12:09:18Z</dcterms:modified>
</cp:coreProperties>
</file>